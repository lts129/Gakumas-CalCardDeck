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5" windowHeight="6840" activeTab="1"/>
  </bookViews>
  <sheets>
    <sheet name="当前模式0" sheetId="1" r:id="rId1"/>
    <sheet name="当前模式1" sheetId="4" r:id="rId2"/>
    <sheet name="当前模式2" sheetId="5" r:id="rId3"/>
    <sheet name="可用角色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<sst xmlns="http://schemas.openxmlformats.org/spreadsheetml/2006/main" count="232" uniqueCount="94">
  <si>
    <t>词条名称</t>
  </si>
  <si>
    <t>第一属性触发次数</t>
  </si>
  <si>
    <t>第二属性触发次数</t>
  </si>
  <si>
    <t>第三属性触发次数</t>
  </si>
  <si>
    <t>累计最大触发次数</t>
  </si>
  <si>
    <t>事件</t>
  </si>
  <si>
    <t>基础值</t>
  </si>
  <si>
    <t>百分比</t>
  </si>
  <si>
    <t>SP率</t>
  </si>
  <si>
    <t>P点数</t>
  </si>
  <si>
    <t>SP的P点数加成</t>
  </si>
  <si>
    <t>SP训练</t>
  </si>
  <si>
    <t>通常训练</t>
  </si>
  <si>
    <t>全部训练</t>
  </si>
  <si>
    <t>营业</t>
  </si>
  <si>
    <t>支给</t>
  </si>
  <si>
    <t>外出</t>
  </si>
  <si>
    <t>休息</t>
  </si>
  <si>
    <t>相谈</t>
  </si>
  <si>
    <t>买饮料</t>
  </si>
  <si>
    <t>进指导</t>
  </si>
  <si>
    <t>指导卡</t>
  </si>
  <si>
    <t>20卡SP训练</t>
  </si>
  <si>
    <t>获得道具</t>
  </si>
  <si>
    <t>获得饮料</t>
  </si>
  <si>
    <t>获得卡</t>
  </si>
  <si>
    <t>获得彩卡</t>
  </si>
  <si>
    <t>获得m卡</t>
  </si>
  <si>
    <t>获得a卡</t>
  </si>
  <si>
    <t>获得好调卡</t>
  </si>
  <si>
    <t>获得集中卡</t>
  </si>
  <si>
    <t>获得好印象卡</t>
  </si>
  <si>
    <t>获得干劲卡</t>
  </si>
  <si>
    <t>获得元气卡</t>
  </si>
  <si>
    <t>获得全力卡</t>
  </si>
  <si>
    <t>获得强气卡</t>
  </si>
  <si>
    <t>获得温存卡</t>
  </si>
  <si>
    <t>删卡</t>
  </si>
  <si>
    <t>删m卡</t>
  </si>
  <si>
    <t>删a卡</t>
  </si>
  <si>
    <t>强化卡</t>
  </si>
  <si>
    <t>强化m卡</t>
  </si>
  <si>
    <t>强化a卡</t>
  </si>
  <si>
    <t>变卡</t>
  </si>
  <si>
    <t>考试完毕</t>
  </si>
  <si>
    <t>SP训练回体</t>
  </si>
  <si>
    <t>支给回体</t>
  </si>
  <si>
    <t>考试回体</t>
  </si>
  <si>
    <t>战斗道具</t>
  </si>
  <si>
    <t>高价值战斗道具</t>
  </si>
  <si>
    <t>训练道具</t>
  </si>
  <si>
    <t>有价值卡</t>
  </si>
  <si>
    <t>无价值卡</t>
  </si>
  <si>
    <t>体力值</t>
  </si>
  <si>
    <t>竞技场</t>
  </si>
  <si>
    <t>角色名</t>
  </si>
  <si>
    <t>流派</t>
  </si>
  <si>
    <t>分支</t>
  </si>
  <si>
    <t>曲名</t>
  </si>
  <si>
    <t>审查类型</t>
  </si>
  <si>
    <t>一属性</t>
  </si>
  <si>
    <t>二属性</t>
  </si>
  <si>
    <t>三属性</t>
  </si>
  <si>
    <t>当前模式</t>
  </si>
  <si>
    <t>仓本千奈</t>
  </si>
  <si>
    <t>感性</t>
  </si>
  <si>
    <t>好调</t>
  </si>
  <si>
    <t>みちなるひろがる</t>
  </si>
  <si>
    <t>ようこそ初星温泉</t>
  </si>
  <si>
    <t>空と約束</t>
  </si>
  <si>
    <t>有村麻央</t>
  </si>
  <si>
    <t>見て</t>
  </si>
  <si>
    <t>月村手毬</t>
  </si>
  <si>
    <t>雨上がりのアイリス</t>
  </si>
  <si>
    <t>藤田琴音</t>
  </si>
  <si>
    <t>Yellow Big Bang！</t>
  </si>
  <si>
    <t>花海咲季</t>
  </si>
  <si>
    <t>理性</t>
  </si>
  <si>
    <t>好印象</t>
  </si>
  <si>
    <t>Wildest Flower</t>
  </si>
  <si>
    <t>十王星南</t>
  </si>
  <si>
    <t>干劲</t>
  </si>
  <si>
    <t>赤裸々</t>
  </si>
  <si>
    <t>筱泽广</t>
  </si>
  <si>
    <t>Our Chant</t>
  </si>
  <si>
    <t>非凡</t>
  </si>
  <si>
    <t>全力</t>
  </si>
  <si>
    <t>一体いつから</t>
  </si>
  <si>
    <t>Star-mine</t>
  </si>
  <si>
    <t>强势</t>
  </si>
  <si>
    <t>サンフェーデッド</t>
  </si>
  <si>
    <t>葛城莉莉娅</t>
  </si>
  <si>
    <t>极光</t>
  </si>
  <si>
    <t>ENDLESS DANCE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</si>
</sst>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B15" sqref="B15"/>
    </sheetView>
  </sheetViews>
  <sheetFormatPr defaultColWidth="9" defaultRowHeight="13.75" outlineLevelCol="4"/>
  <cols>
    <col min="1" max="1" width="16.3181818181818" customWidth="1"/>
    <col min="2" max="4" width="18.5909090909091" customWidth="1"/>
    <col min="5" max="5" width="14.090909090909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</v>
      </c>
      <c r="D2">
        <v>1</v>
      </c>
      <c r="E2">
        <v>1</v>
      </c>
    </row>
    <row r="3" spans="1:5">
      <c r="A3" t="s">
        <v>6</v>
      </c>
      <c r="B3">
        <v>1</v>
      </c>
      <c r="C3">
        <v>1</v>
      </c>
      <c r="D3">
        <v>1</v>
      </c>
      <c r="E3">
        <v>1</v>
      </c>
    </row>
    <row r="4" spans="1:5">
      <c r="A4" t="s">
        <v>7</v>
      </c>
      <c r="B4">
        <v>11.2</v>
      </c>
      <c r="C4">
        <v>7.9</v>
      </c>
      <c r="D4">
        <v>3.9</v>
      </c>
      <c r="E4">
        <v>100</v>
      </c>
    </row>
    <row r="5" spans="1:5">
      <c r="A5" t="s">
        <v>8</v>
      </c>
      <c r="B5">
        <v>0</v>
      </c>
      <c r="C5">
        <v>0</v>
      </c>
      <c r="D5">
        <v>0</v>
      </c>
      <c r="E5">
        <v>2</v>
      </c>
    </row>
    <row r="6" spans="1:5">
      <c r="A6" t="s">
        <v>9</v>
      </c>
      <c r="B6">
        <v>0</v>
      </c>
      <c r="C6">
        <v>0</v>
      </c>
      <c r="D6">
        <v>0</v>
      </c>
      <c r="E6">
        <v>0</v>
      </c>
    </row>
    <row r="7" spans="1:5">
      <c r="A7" t="s">
        <v>10</v>
      </c>
      <c r="B7">
        <v>0</v>
      </c>
      <c r="C7">
        <v>0</v>
      </c>
      <c r="D7">
        <v>0</v>
      </c>
      <c r="E7">
        <v>0</v>
      </c>
    </row>
    <row r="8" spans="1:5">
      <c r="A8" t="s">
        <v>11</v>
      </c>
      <c r="B8">
        <v>4</v>
      </c>
      <c r="C8">
        <v>1</v>
      </c>
      <c r="D8">
        <v>0</v>
      </c>
      <c r="E8">
        <v>100</v>
      </c>
    </row>
    <row r="9" spans="1:5">
      <c r="A9" t="s">
        <v>12</v>
      </c>
      <c r="B9">
        <v>0</v>
      </c>
      <c r="C9">
        <v>0</v>
      </c>
      <c r="D9">
        <v>0</v>
      </c>
      <c r="E9">
        <v>100</v>
      </c>
    </row>
    <row r="10" spans="1:5">
      <c r="A10" t="s">
        <v>13</v>
      </c>
      <c r="B10">
        <v>4</v>
      </c>
      <c r="C10">
        <v>1</v>
      </c>
      <c r="D10">
        <v>0</v>
      </c>
      <c r="E10">
        <v>100</v>
      </c>
    </row>
    <row r="11" spans="1:5">
      <c r="A11" t="s">
        <v>14</v>
      </c>
      <c r="B11">
        <v>4</v>
      </c>
      <c r="C11">
        <v>4</v>
      </c>
      <c r="D11">
        <v>4</v>
      </c>
      <c r="E11">
        <v>100</v>
      </c>
    </row>
    <row r="12" spans="1:5">
      <c r="A12" t="s">
        <v>15</v>
      </c>
      <c r="B12">
        <v>4</v>
      </c>
      <c r="C12">
        <v>4</v>
      </c>
      <c r="D12">
        <v>4</v>
      </c>
      <c r="E12">
        <v>100</v>
      </c>
    </row>
    <row r="13" spans="1:5">
      <c r="A13" t="s">
        <v>16</v>
      </c>
      <c r="B13">
        <v>0</v>
      </c>
      <c r="C13">
        <v>0</v>
      </c>
      <c r="D13">
        <v>0</v>
      </c>
      <c r="E13">
        <v>100</v>
      </c>
    </row>
    <row r="14" spans="1:5">
      <c r="A14" t="s">
        <v>17</v>
      </c>
      <c r="B14">
        <v>0</v>
      </c>
      <c r="C14">
        <v>0</v>
      </c>
      <c r="D14">
        <v>0</v>
      </c>
      <c r="E14">
        <v>100</v>
      </c>
    </row>
    <row r="15" spans="1:5">
      <c r="A15" t="s">
        <v>18</v>
      </c>
      <c r="B15">
        <v>2</v>
      </c>
      <c r="C15">
        <v>2</v>
      </c>
      <c r="D15">
        <v>2</v>
      </c>
      <c r="E15">
        <v>100</v>
      </c>
    </row>
    <row r="16" spans="1:5">
      <c r="A16" t="s">
        <v>19</v>
      </c>
      <c r="B16">
        <v>12</v>
      </c>
      <c r="C16">
        <v>12</v>
      </c>
      <c r="D16">
        <v>12</v>
      </c>
      <c r="E16">
        <v>100</v>
      </c>
    </row>
    <row r="17" spans="1:5">
      <c r="A17" t="s">
        <v>20</v>
      </c>
      <c r="B17">
        <v>1</v>
      </c>
      <c r="C17">
        <v>1</v>
      </c>
      <c r="D17">
        <v>1</v>
      </c>
      <c r="E17">
        <v>3</v>
      </c>
    </row>
    <row r="18" spans="1:5">
      <c r="A18" t="s">
        <v>21</v>
      </c>
      <c r="B18">
        <v>4</v>
      </c>
      <c r="C18">
        <v>4</v>
      </c>
      <c r="D18">
        <v>4</v>
      </c>
      <c r="E18">
        <v>6</v>
      </c>
    </row>
    <row r="19" spans="1:5">
      <c r="A19" t="s">
        <v>22</v>
      </c>
      <c r="B19">
        <v>3</v>
      </c>
      <c r="C19">
        <v>3</v>
      </c>
      <c r="D19">
        <v>3</v>
      </c>
      <c r="E19">
        <v>4</v>
      </c>
    </row>
    <row r="20" spans="1:5">
      <c r="A20" t="s">
        <v>23</v>
      </c>
      <c r="B20">
        <v>4</v>
      </c>
      <c r="C20">
        <v>4</v>
      </c>
      <c r="D20">
        <v>4</v>
      </c>
      <c r="E20">
        <v>6</v>
      </c>
    </row>
    <row r="21" spans="1:5">
      <c r="A21" t="s">
        <v>24</v>
      </c>
      <c r="B21">
        <v>21</v>
      </c>
      <c r="C21">
        <v>21</v>
      </c>
      <c r="D21">
        <v>21</v>
      </c>
      <c r="E21">
        <v>100</v>
      </c>
    </row>
    <row r="22" spans="1:5">
      <c r="A22" t="s">
        <v>25</v>
      </c>
      <c r="B22">
        <v>19</v>
      </c>
      <c r="C22">
        <v>19</v>
      </c>
      <c r="D22">
        <v>19</v>
      </c>
      <c r="E22">
        <v>100</v>
      </c>
    </row>
    <row r="23" spans="1:5">
      <c r="A23" t="s">
        <v>26</v>
      </c>
      <c r="B23">
        <v>7</v>
      </c>
      <c r="C23">
        <v>7</v>
      </c>
      <c r="D23">
        <v>7</v>
      </c>
      <c r="E23">
        <v>100</v>
      </c>
    </row>
    <row r="24" spans="1:5">
      <c r="A24" t="s">
        <v>27</v>
      </c>
      <c r="B24">
        <v>12</v>
      </c>
      <c r="C24">
        <v>12</v>
      </c>
      <c r="D24">
        <v>12</v>
      </c>
      <c r="E24">
        <v>100</v>
      </c>
    </row>
    <row r="25" spans="1:5">
      <c r="A25" t="s">
        <v>28</v>
      </c>
      <c r="B25">
        <v>7</v>
      </c>
      <c r="C25">
        <v>7</v>
      </c>
      <c r="D25">
        <v>7</v>
      </c>
      <c r="E25">
        <v>100</v>
      </c>
    </row>
    <row r="26" spans="1:5">
      <c r="A26" t="s">
        <v>29</v>
      </c>
      <c r="B26">
        <v>10</v>
      </c>
      <c r="C26">
        <v>10</v>
      </c>
      <c r="D26">
        <v>10</v>
      </c>
      <c r="E26">
        <v>100</v>
      </c>
    </row>
    <row r="27" spans="1:5">
      <c r="A27" t="s">
        <v>30</v>
      </c>
      <c r="B27">
        <v>10</v>
      </c>
      <c r="C27">
        <v>10</v>
      </c>
      <c r="D27">
        <v>10</v>
      </c>
      <c r="E27">
        <v>100</v>
      </c>
    </row>
    <row r="28" spans="1:5">
      <c r="A28" t="s">
        <v>31</v>
      </c>
      <c r="B28">
        <v>12</v>
      </c>
      <c r="C28">
        <v>12</v>
      </c>
      <c r="D28">
        <v>12</v>
      </c>
      <c r="E28">
        <v>100</v>
      </c>
    </row>
    <row r="29" spans="1:5">
      <c r="A29" t="s">
        <v>32</v>
      </c>
      <c r="B29">
        <v>12</v>
      </c>
      <c r="C29">
        <v>12</v>
      </c>
      <c r="D29">
        <v>12</v>
      </c>
      <c r="E29">
        <v>100</v>
      </c>
    </row>
    <row r="30" spans="1:5">
      <c r="A30" t="s">
        <v>33</v>
      </c>
      <c r="B30">
        <v>12</v>
      </c>
      <c r="C30">
        <v>12</v>
      </c>
      <c r="D30">
        <v>12</v>
      </c>
      <c r="E30">
        <v>100</v>
      </c>
    </row>
    <row r="31" spans="1:5">
      <c r="A31" t="s">
        <v>34</v>
      </c>
      <c r="B31">
        <v>10</v>
      </c>
      <c r="C31">
        <v>10</v>
      </c>
      <c r="D31">
        <v>10</v>
      </c>
      <c r="E31">
        <v>100</v>
      </c>
    </row>
    <row r="32" spans="1:5">
      <c r="A32" t="s">
        <v>35</v>
      </c>
      <c r="B32">
        <v>10</v>
      </c>
      <c r="C32">
        <v>10</v>
      </c>
      <c r="D32">
        <v>10</v>
      </c>
      <c r="E32">
        <v>100</v>
      </c>
    </row>
    <row r="33" spans="1:5">
      <c r="A33" t="s">
        <v>36</v>
      </c>
      <c r="B33">
        <v>10</v>
      </c>
      <c r="C33">
        <v>10</v>
      </c>
      <c r="D33">
        <v>10</v>
      </c>
      <c r="E33">
        <v>100</v>
      </c>
    </row>
    <row r="34" spans="1:5">
      <c r="A34" t="s">
        <v>37</v>
      </c>
      <c r="B34">
        <v>0</v>
      </c>
      <c r="C34">
        <v>0</v>
      </c>
      <c r="D34">
        <v>0</v>
      </c>
      <c r="E34">
        <v>100</v>
      </c>
    </row>
    <row r="35" spans="1:5">
      <c r="A35" t="s">
        <v>38</v>
      </c>
      <c r="B35">
        <v>0</v>
      </c>
      <c r="C35">
        <v>0</v>
      </c>
      <c r="D35">
        <v>0</v>
      </c>
      <c r="E35">
        <v>3</v>
      </c>
    </row>
    <row r="36" spans="1:5">
      <c r="A36" t="s">
        <v>39</v>
      </c>
      <c r="B36">
        <v>0</v>
      </c>
      <c r="C36">
        <v>0</v>
      </c>
      <c r="D36">
        <v>0</v>
      </c>
      <c r="E36">
        <v>3</v>
      </c>
    </row>
    <row r="37" spans="1:5">
      <c r="A37" t="s">
        <v>40</v>
      </c>
      <c r="B37">
        <v>4</v>
      </c>
      <c r="C37">
        <v>4</v>
      </c>
      <c r="D37">
        <v>4</v>
      </c>
      <c r="E37">
        <v>100</v>
      </c>
    </row>
    <row r="38" spans="1:5">
      <c r="A38" t="s">
        <v>41</v>
      </c>
      <c r="B38">
        <v>2</v>
      </c>
      <c r="C38">
        <v>2</v>
      </c>
      <c r="D38">
        <v>2</v>
      </c>
      <c r="E38">
        <v>100</v>
      </c>
    </row>
    <row r="39" spans="1:5">
      <c r="A39" t="s">
        <v>42</v>
      </c>
      <c r="B39">
        <v>2</v>
      </c>
      <c r="C39">
        <v>2</v>
      </c>
      <c r="D39">
        <v>2</v>
      </c>
      <c r="E39">
        <v>100</v>
      </c>
    </row>
    <row r="40" spans="1:5">
      <c r="A40" t="s">
        <v>43</v>
      </c>
      <c r="B40">
        <v>0</v>
      </c>
      <c r="C40">
        <v>0</v>
      </c>
      <c r="D40">
        <v>0</v>
      </c>
      <c r="E40">
        <v>3</v>
      </c>
    </row>
    <row r="41" spans="1:5">
      <c r="A41" t="s">
        <v>44</v>
      </c>
      <c r="B41">
        <v>2</v>
      </c>
      <c r="C41">
        <v>2</v>
      </c>
      <c r="D41">
        <v>2</v>
      </c>
      <c r="E41">
        <v>2</v>
      </c>
    </row>
    <row r="42" spans="1:5">
      <c r="A42" t="s">
        <v>45</v>
      </c>
      <c r="B42">
        <v>0</v>
      </c>
      <c r="C42">
        <v>0</v>
      </c>
      <c r="D42">
        <v>0</v>
      </c>
      <c r="E42">
        <v>0</v>
      </c>
    </row>
    <row r="43" spans="1:5">
      <c r="A43" t="s">
        <v>46</v>
      </c>
      <c r="B43">
        <v>0</v>
      </c>
      <c r="C43">
        <v>0</v>
      </c>
      <c r="D43">
        <v>0</v>
      </c>
      <c r="E43">
        <v>0</v>
      </c>
    </row>
    <row r="44" spans="1:5">
      <c r="A44" t="s">
        <v>47</v>
      </c>
      <c r="B44">
        <v>0</v>
      </c>
      <c r="C44">
        <v>0</v>
      </c>
      <c r="D44">
        <v>0</v>
      </c>
      <c r="E44">
        <v>0</v>
      </c>
    </row>
    <row r="45" spans="1:5">
      <c r="A45" t="s">
        <v>48</v>
      </c>
      <c r="B45">
        <v>0</v>
      </c>
      <c r="C45">
        <v>0</v>
      </c>
      <c r="D45">
        <v>0</v>
      </c>
      <c r="E45">
        <v>0</v>
      </c>
    </row>
    <row r="46" spans="1:5">
      <c r="A46" t="s">
        <v>49</v>
      </c>
      <c r="B46">
        <v>0</v>
      </c>
      <c r="C46">
        <v>0</v>
      </c>
      <c r="D46">
        <v>0</v>
      </c>
      <c r="E46">
        <v>0</v>
      </c>
    </row>
    <row r="47" spans="1:5">
      <c r="A47" t="s">
        <v>50</v>
      </c>
      <c r="B47">
        <v>0</v>
      </c>
      <c r="C47">
        <v>0</v>
      </c>
      <c r="D47">
        <v>0</v>
      </c>
      <c r="E47">
        <v>0</v>
      </c>
    </row>
    <row r="48" spans="1:5">
      <c r="A48" t="s">
        <v>51</v>
      </c>
      <c r="B48">
        <v>0</v>
      </c>
      <c r="C48">
        <v>0</v>
      </c>
      <c r="D48">
        <v>0</v>
      </c>
      <c r="E48">
        <v>0</v>
      </c>
    </row>
    <row r="49" spans="1:5">
      <c r="A49" t="s">
        <v>52</v>
      </c>
      <c r="B49">
        <v>0</v>
      </c>
      <c r="C49">
        <v>0</v>
      </c>
      <c r="D49">
        <v>0</v>
      </c>
      <c r="E49">
        <v>0</v>
      </c>
    </row>
    <row r="50" spans="1:5">
      <c r="A50" t="s">
        <v>53</v>
      </c>
      <c r="B50">
        <v>0</v>
      </c>
      <c r="C50">
        <v>0</v>
      </c>
      <c r="D50">
        <v>0</v>
      </c>
      <c r="E50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workbookViewId="0">
      <selection activeCell="C11" sqref="C11"/>
    </sheetView>
  </sheetViews>
  <sheetFormatPr defaultColWidth="9" defaultRowHeight="13.75" outlineLevelCol="4"/>
  <cols>
    <col min="1" max="1" width="16.3181818181818" customWidth="1"/>
    <col min="2" max="4" width="18.5909090909091" customWidth="1"/>
    <col min="5" max="5" width="14.090909090909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</v>
      </c>
      <c r="D2">
        <v>1</v>
      </c>
      <c r="E2">
        <v>1</v>
      </c>
    </row>
    <row r="3" spans="1:5">
      <c r="A3" t="s">
        <v>6</v>
      </c>
      <c r="B3">
        <v>1</v>
      </c>
      <c r="C3">
        <v>1</v>
      </c>
      <c r="D3">
        <v>1</v>
      </c>
      <c r="E3">
        <v>1</v>
      </c>
    </row>
    <row r="4" spans="1:5">
      <c r="A4" t="s">
        <v>7</v>
      </c>
      <c r="B4">
        <v>11.2</v>
      </c>
      <c r="C4">
        <v>7.9</v>
      </c>
      <c r="D4">
        <v>3.9</v>
      </c>
      <c r="E4">
        <v>100</v>
      </c>
    </row>
    <row r="5" spans="1:5">
      <c r="A5" t="s">
        <v>8</v>
      </c>
      <c r="B5">
        <v>0</v>
      </c>
      <c r="C5">
        <v>0</v>
      </c>
      <c r="D5">
        <v>0</v>
      </c>
      <c r="E5">
        <v>0</v>
      </c>
    </row>
    <row r="6" spans="1:5">
      <c r="A6" t="s">
        <v>9</v>
      </c>
      <c r="B6">
        <v>0</v>
      </c>
      <c r="C6">
        <v>0</v>
      </c>
      <c r="D6">
        <v>0</v>
      </c>
      <c r="E6">
        <v>0</v>
      </c>
    </row>
    <row r="7" spans="1:5">
      <c r="A7" t="s">
        <v>10</v>
      </c>
      <c r="B7">
        <v>0</v>
      </c>
      <c r="C7">
        <v>0</v>
      </c>
      <c r="D7">
        <v>0</v>
      </c>
      <c r="E7">
        <v>0</v>
      </c>
    </row>
    <row r="8" spans="1:5">
      <c r="A8" t="s">
        <v>11</v>
      </c>
      <c r="B8">
        <v>4</v>
      </c>
      <c r="C8">
        <v>1</v>
      </c>
      <c r="D8">
        <v>0</v>
      </c>
      <c r="E8">
        <v>100</v>
      </c>
    </row>
    <row r="9" spans="1:5">
      <c r="A9" t="s">
        <v>12</v>
      </c>
      <c r="B9">
        <v>0</v>
      </c>
      <c r="C9">
        <v>0</v>
      </c>
      <c r="D9">
        <v>0</v>
      </c>
      <c r="E9">
        <v>100</v>
      </c>
    </row>
    <row r="10" spans="1:5">
      <c r="A10" t="s">
        <v>13</v>
      </c>
      <c r="B10">
        <v>4</v>
      </c>
      <c r="C10">
        <v>1</v>
      </c>
      <c r="D10">
        <v>0</v>
      </c>
      <c r="E10">
        <v>100</v>
      </c>
    </row>
    <row r="11" spans="1:5">
      <c r="A11" t="s">
        <v>14</v>
      </c>
      <c r="B11">
        <v>4</v>
      </c>
      <c r="C11">
        <v>4</v>
      </c>
      <c r="D11">
        <v>4</v>
      </c>
      <c r="E11">
        <v>100</v>
      </c>
    </row>
    <row r="12" spans="1:5">
      <c r="A12" t="s">
        <v>15</v>
      </c>
      <c r="B12">
        <v>4</v>
      </c>
      <c r="C12">
        <v>4</v>
      </c>
      <c r="D12">
        <v>4</v>
      </c>
      <c r="E12">
        <v>100</v>
      </c>
    </row>
    <row r="13" spans="1:5">
      <c r="A13" t="s">
        <v>16</v>
      </c>
      <c r="B13">
        <v>0</v>
      </c>
      <c r="C13">
        <v>0</v>
      </c>
      <c r="D13">
        <v>0</v>
      </c>
      <c r="E13">
        <v>100</v>
      </c>
    </row>
    <row r="14" spans="1:5">
      <c r="A14" t="s">
        <v>17</v>
      </c>
      <c r="B14">
        <v>0</v>
      </c>
      <c r="C14">
        <v>0</v>
      </c>
      <c r="D14">
        <v>0</v>
      </c>
      <c r="E14">
        <v>100</v>
      </c>
    </row>
    <row r="15" spans="1:5">
      <c r="A15" t="s">
        <v>18</v>
      </c>
      <c r="B15">
        <v>2</v>
      </c>
      <c r="C15">
        <v>2</v>
      </c>
      <c r="D15">
        <v>2</v>
      </c>
      <c r="E15">
        <v>100</v>
      </c>
    </row>
    <row r="16" spans="1:5">
      <c r="A16" t="s">
        <v>19</v>
      </c>
      <c r="B16">
        <v>4</v>
      </c>
      <c r="C16">
        <v>4</v>
      </c>
      <c r="D16">
        <v>4</v>
      </c>
      <c r="E16">
        <v>100</v>
      </c>
    </row>
    <row r="17" spans="1:5">
      <c r="A17" t="s">
        <v>20</v>
      </c>
      <c r="B17">
        <v>1</v>
      </c>
      <c r="C17">
        <v>1</v>
      </c>
      <c r="D17">
        <v>1</v>
      </c>
      <c r="E17">
        <v>3</v>
      </c>
    </row>
    <row r="18" spans="1:5">
      <c r="A18" t="s">
        <v>21</v>
      </c>
      <c r="B18">
        <v>4</v>
      </c>
      <c r="C18">
        <v>4</v>
      </c>
      <c r="D18">
        <v>4</v>
      </c>
      <c r="E18">
        <v>6</v>
      </c>
    </row>
    <row r="19" spans="1:5">
      <c r="A19" t="s">
        <v>22</v>
      </c>
      <c r="B19">
        <v>3</v>
      </c>
      <c r="C19">
        <v>3</v>
      </c>
      <c r="D19">
        <v>3</v>
      </c>
      <c r="E19">
        <v>4</v>
      </c>
    </row>
    <row r="20" spans="1:5">
      <c r="A20" t="s">
        <v>23</v>
      </c>
      <c r="B20">
        <v>4</v>
      </c>
      <c r="C20">
        <v>4</v>
      </c>
      <c r="D20">
        <v>4</v>
      </c>
      <c r="E20">
        <v>6</v>
      </c>
    </row>
    <row r="21" spans="1:5">
      <c r="A21" t="s">
        <v>24</v>
      </c>
      <c r="B21">
        <v>13</v>
      </c>
      <c r="C21">
        <v>13</v>
      </c>
      <c r="D21">
        <v>13</v>
      </c>
      <c r="E21">
        <v>100</v>
      </c>
    </row>
    <row r="22" spans="1:5">
      <c r="A22" t="s">
        <v>25</v>
      </c>
      <c r="B22">
        <v>19</v>
      </c>
      <c r="C22">
        <v>19</v>
      </c>
      <c r="D22">
        <v>19</v>
      </c>
      <c r="E22">
        <v>100</v>
      </c>
    </row>
    <row r="23" spans="1:5">
      <c r="A23" t="s">
        <v>26</v>
      </c>
      <c r="B23">
        <v>7</v>
      </c>
      <c r="C23">
        <v>7</v>
      </c>
      <c r="D23">
        <v>7</v>
      </c>
      <c r="E23">
        <v>100</v>
      </c>
    </row>
    <row r="24" spans="1:5">
      <c r="A24" t="s">
        <v>27</v>
      </c>
      <c r="B24">
        <v>12</v>
      </c>
      <c r="C24">
        <v>12</v>
      </c>
      <c r="D24">
        <v>12</v>
      </c>
      <c r="E24">
        <v>100</v>
      </c>
    </row>
    <row r="25" spans="1:5">
      <c r="A25" t="s">
        <v>28</v>
      </c>
      <c r="B25">
        <v>7</v>
      </c>
      <c r="C25">
        <v>7</v>
      </c>
      <c r="D25">
        <v>7</v>
      </c>
      <c r="E25">
        <v>100</v>
      </c>
    </row>
    <row r="26" spans="1:5">
      <c r="A26" t="s">
        <v>29</v>
      </c>
      <c r="B26">
        <v>10</v>
      </c>
      <c r="C26">
        <v>10</v>
      </c>
      <c r="D26">
        <v>10</v>
      </c>
      <c r="E26">
        <v>100</v>
      </c>
    </row>
    <row r="27" spans="1:5">
      <c r="A27" t="s">
        <v>30</v>
      </c>
      <c r="B27">
        <v>10</v>
      </c>
      <c r="C27">
        <v>10</v>
      </c>
      <c r="D27">
        <v>10</v>
      </c>
      <c r="E27">
        <v>100</v>
      </c>
    </row>
    <row r="28" spans="1:5">
      <c r="A28" t="s">
        <v>31</v>
      </c>
      <c r="B28">
        <v>12</v>
      </c>
      <c r="C28">
        <v>12</v>
      </c>
      <c r="D28">
        <v>12</v>
      </c>
      <c r="E28">
        <v>100</v>
      </c>
    </row>
    <row r="29" spans="1:5">
      <c r="A29" t="s">
        <v>32</v>
      </c>
      <c r="B29">
        <v>12</v>
      </c>
      <c r="C29">
        <v>12</v>
      </c>
      <c r="D29">
        <v>12</v>
      </c>
      <c r="E29">
        <v>100</v>
      </c>
    </row>
    <row r="30" spans="1:5">
      <c r="A30" t="s">
        <v>33</v>
      </c>
      <c r="B30">
        <v>12</v>
      </c>
      <c r="C30">
        <v>12</v>
      </c>
      <c r="D30">
        <v>12</v>
      </c>
      <c r="E30">
        <v>100</v>
      </c>
    </row>
    <row r="31" spans="1:5">
      <c r="A31" t="s">
        <v>34</v>
      </c>
      <c r="B31">
        <v>10</v>
      </c>
      <c r="C31">
        <v>10</v>
      </c>
      <c r="D31">
        <v>10</v>
      </c>
      <c r="E31">
        <v>100</v>
      </c>
    </row>
    <row r="32" spans="1:5">
      <c r="A32" t="s">
        <v>35</v>
      </c>
      <c r="B32">
        <v>10</v>
      </c>
      <c r="C32">
        <v>10</v>
      </c>
      <c r="D32">
        <v>10</v>
      </c>
      <c r="E32">
        <v>100</v>
      </c>
    </row>
    <row r="33" spans="1:5">
      <c r="A33" t="s">
        <v>36</v>
      </c>
      <c r="B33">
        <v>10</v>
      </c>
      <c r="C33">
        <v>10</v>
      </c>
      <c r="D33">
        <v>10</v>
      </c>
      <c r="E33">
        <v>100</v>
      </c>
    </row>
    <row r="34" spans="1:5">
      <c r="A34" t="s">
        <v>37</v>
      </c>
      <c r="B34">
        <v>4</v>
      </c>
      <c r="C34">
        <v>4</v>
      </c>
      <c r="D34">
        <v>4</v>
      </c>
      <c r="E34">
        <v>100</v>
      </c>
    </row>
    <row r="35" spans="1:5">
      <c r="A35" t="s">
        <v>38</v>
      </c>
      <c r="B35">
        <v>2</v>
      </c>
      <c r="C35">
        <v>2</v>
      </c>
      <c r="D35">
        <v>2</v>
      </c>
      <c r="E35">
        <v>3</v>
      </c>
    </row>
    <row r="36" spans="1:5">
      <c r="A36" t="s">
        <v>39</v>
      </c>
      <c r="B36">
        <v>2</v>
      </c>
      <c r="C36">
        <v>2</v>
      </c>
      <c r="D36">
        <v>2</v>
      </c>
      <c r="E36">
        <v>3</v>
      </c>
    </row>
    <row r="37" spans="1:5">
      <c r="A37" t="s">
        <v>40</v>
      </c>
      <c r="B37">
        <v>6</v>
      </c>
      <c r="C37">
        <v>6</v>
      </c>
      <c r="D37">
        <v>6</v>
      </c>
      <c r="E37">
        <v>100</v>
      </c>
    </row>
    <row r="38" spans="1:5">
      <c r="A38" t="s">
        <v>41</v>
      </c>
      <c r="B38">
        <v>3</v>
      </c>
      <c r="C38">
        <v>3</v>
      </c>
      <c r="D38">
        <v>3</v>
      </c>
      <c r="E38">
        <v>100</v>
      </c>
    </row>
    <row r="39" spans="1:5">
      <c r="A39" t="s">
        <v>42</v>
      </c>
      <c r="B39">
        <v>3</v>
      </c>
      <c r="C39">
        <v>3</v>
      </c>
      <c r="D39">
        <v>3</v>
      </c>
      <c r="E39">
        <v>100</v>
      </c>
    </row>
    <row r="40" spans="1:5">
      <c r="A40" t="s">
        <v>43</v>
      </c>
      <c r="B40">
        <v>0</v>
      </c>
      <c r="C40">
        <v>0</v>
      </c>
      <c r="D40">
        <v>0</v>
      </c>
      <c r="E40">
        <v>3</v>
      </c>
    </row>
    <row r="41" spans="1:5">
      <c r="A41" t="s">
        <v>44</v>
      </c>
      <c r="B41">
        <v>2</v>
      </c>
      <c r="C41">
        <v>2</v>
      </c>
      <c r="D41">
        <v>2</v>
      </c>
      <c r="E41">
        <v>2</v>
      </c>
    </row>
    <row r="42" spans="1:5">
      <c r="A42" t="s">
        <v>45</v>
      </c>
      <c r="B42">
        <v>0</v>
      </c>
      <c r="C42">
        <v>0</v>
      </c>
      <c r="D42">
        <v>0</v>
      </c>
      <c r="E42">
        <v>0</v>
      </c>
    </row>
    <row r="43" spans="1:5">
      <c r="A43" t="s">
        <v>46</v>
      </c>
      <c r="B43">
        <v>0</v>
      </c>
      <c r="C43">
        <v>0</v>
      </c>
      <c r="D43">
        <v>0</v>
      </c>
      <c r="E43">
        <v>0</v>
      </c>
    </row>
    <row r="44" spans="1:5">
      <c r="A44" t="s">
        <v>47</v>
      </c>
      <c r="B44">
        <v>0</v>
      </c>
      <c r="C44">
        <v>0</v>
      </c>
      <c r="D44">
        <v>0</v>
      </c>
      <c r="E44">
        <v>0</v>
      </c>
    </row>
    <row r="45" spans="1:5">
      <c r="A45" t="s">
        <v>48</v>
      </c>
      <c r="B45">
        <v>0</v>
      </c>
      <c r="C45">
        <v>0</v>
      </c>
      <c r="D45">
        <v>0</v>
      </c>
      <c r="E45">
        <v>0</v>
      </c>
    </row>
    <row r="46" spans="1:5">
      <c r="A46" t="s">
        <v>49</v>
      </c>
      <c r="B46">
        <v>0</v>
      </c>
      <c r="C46">
        <v>0</v>
      </c>
      <c r="D46">
        <v>0</v>
      </c>
      <c r="E46">
        <v>0</v>
      </c>
    </row>
    <row r="47" spans="1:5">
      <c r="A47" t="s">
        <v>50</v>
      </c>
      <c r="B47">
        <v>0</v>
      </c>
      <c r="C47">
        <v>0</v>
      </c>
      <c r="D47">
        <v>0</v>
      </c>
      <c r="E47">
        <v>0</v>
      </c>
    </row>
    <row r="48" spans="1:5">
      <c r="A48" t="s">
        <v>51</v>
      </c>
      <c r="B48">
        <v>0</v>
      </c>
      <c r="C48">
        <v>0</v>
      </c>
      <c r="D48">
        <v>0</v>
      </c>
      <c r="E48">
        <v>0</v>
      </c>
    </row>
    <row r="49" spans="1:5">
      <c r="A49" t="s">
        <v>52</v>
      </c>
      <c r="B49">
        <v>0</v>
      </c>
      <c r="C49">
        <v>0</v>
      </c>
      <c r="D49">
        <v>0</v>
      </c>
      <c r="E49">
        <v>0</v>
      </c>
    </row>
    <row r="50" spans="1:5">
      <c r="A50" t="s">
        <v>53</v>
      </c>
      <c r="B50">
        <v>0</v>
      </c>
      <c r="C50">
        <v>0</v>
      </c>
      <c r="D50">
        <v>0</v>
      </c>
      <c r="E50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workbookViewId="0">
      <selection activeCell="B26" sqref="B26"/>
    </sheetView>
  </sheetViews>
  <sheetFormatPr defaultColWidth="8.72727272727273" defaultRowHeight="13.75" outlineLevelCol="5"/>
  <cols>
    <col min="1" max="1" width="16.3181818181818" customWidth="1"/>
    <col min="2" max="4" width="18.5909090909091" customWidth="1"/>
    <col min="5" max="5" width="14.0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</v>
      </c>
    </row>
    <row r="2" spans="1:6">
      <c r="A2" t="s">
        <v>5</v>
      </c>
      <c r="B2">
        <v>1</v>
      </c>
      <c r="C2">
        <v>1</v>
      </c>
      <c r="D2">
        <v>1</v>
      </c>
      <c r="E2">
        <v>1</v>
      </c>
    </row>
    <row r="3" spans="1:6">
      <c r="A3" t="s">
        <v>6</v>
      </c>
      <c r="B3">
        <v>1</v>
      </c>
      <c r="C3">
        <v>1</v>
      </c>
      <c r="D3">
        <v>1</v>
      </c>
      <c r="E3">
        <v>1</v>
      </c>
    </row>
    <row r="4" spans="1:6">
      <c r="A4" t="s">
        <v>7</v>
      </c>
      <c r="B4">
        <v>11.2</v>
      </c>
      <c r="C4">
        <v>7.9</v>
      </c>
      <c r="D4">
        <v>3.9</v>
      </c>
      <c r="E4">
        <v>100</v>
      </c>
    </row>
    <row r="5" spans="1:6">
      <c r="A5" t="s">
        <v>8</v>
      </c>
      <c r="B5">
        <v>0</v>
      </c>
      <c r="C5">
        <v>0</v>
      </c>
      <c r="D5">
        <v>0</v>
      </c>
      <c r="E5">
        <v>2</v>
      </c>
    </row>
    <row r="6" spans="1:6">
      <c r="A6" t="s">
        <v>9</v>
      </c>
      <c r="B6">
        <v>0</v>
      </c>
      <c r="C6">
        <v>0</v>
      </c>
      <c r="D6">
        <v>0</v>
      </c>
      <c r="E6">
        <v>0</v>
      </c>
    </row>
    <row r="7" spans="1:6">
      <c r="A7" t="s">
        <v>10</v>
      </c>
      <c r="B7">
        <v>0</v>
      </c>
      <c r="C7">
        <v>0</v>
      </c>
      <c r="D7">
        <v>0</v>
      </c>
      <c r="E7">
        <v>0</v>
      </c>
    </row>
    <row r="8" spans="1:6">
      <c r="A8" t="s">
        <v>11</v>
      </c>
      <c r="B8">
        <v>4</v>
      </c>
      <c r="C8">
        <v>1</v>
      </c>
      <c r="D8">
        <v>0</v>
      </c>
      <c r="E8">
        <v>100</v>
      </c>
    </row>
    <row r="9" spans="1:6">
      <c r="A9" t="s">
        <v>12</v>
      </c>
      <c r="B9">
        <v>0</v>
      </c>
      <c r="C9">
        <v>0</v>
      </c>
      <c r="D9">
        <v>0</v>
      </c>
      <c r="E9">
        <v>100</v>
      </c>
    </row>
    <row r="10" spans="1:6">
      <c r="A10" t="s">
        <v>13</v>
      </c>
      <c r="B10">
        <v>4</v>
      </c>
      <c r="C10">
        <v>1</v>
      </c>
      <c r="D10">
        <v>0</v>
      </c>
      <c r="E10">
        <v>100</v>
      </c>
    </row>
    <row r="11" spans="1:6">
      <c r="A11" t="s">
        <v>14</v>
      </c>
      <c r="B11">
        <v>4</v>
      </c>
      <c r="C11">
        <v>4</v>
      </c>
      <c r="D11">
        <v>4</v>
      </c>
      <c r="E11">
        <v>100</v>
      </c>
    </row>
    <row r="12" spans="1:6">
      <c r="A12" t="s">
        <v>15</v>
      </c>
      <c r="B12">
        <v>3</v>
      </c>
      <c r="C12">
        <v>3</v>
      </c>
      <c r="D12">
        <v>3</v>
      </c>
      <c r="E12">
        <v>100</v>
      </c>
    </row>
    <row r="13" spans="1:6">
      <c r="A13" t="s">
        <v>16</v>
      </c>
      <c r="B13">
        <v>0</v>
      </c>
      <c r="C13">
        <v>0</v>
      </c>
      <c r="D13">
        <v>0</v>
      </c>
      <c r="E13">
        <v>100</v>
      </c>
    </row>
    <row r="14" spans="1:6">
      <c r="A14" t="s">
        <v>17</v>
      </c>
      <c r="B14">
        <v>0</v>
      </c>
      <c r="C14">
        <v>0</v>
      </c>
      <c r="D14">
        <v>0</v>
      </c>
      <c r="E14">
        <v>100</v>
      </c>
    </row>
    <row r="15" spans="1:6">
      <c r="A15" t="s">
        <v>18</v>
      </c>
      <c r="B15">
        <v>3</v>
      </c>
      <c r="C15">
        <v>3</v>
      </c>
      <c r="D15">
        <v>3</v>
      </c>
      <c r="E15">
        <v>100</v>
      </c>
    </row>
    <row r="16" spans="1:6">
      <c r="A16" t="s">
        <v>19</v>
      </c>
      <c r="B16">
        <v>4</v>
      </c>
      <c r="C16">
        <v>4</v>
      </c>
      <c r="D16">
        <v>4</v>
      </c>
      <c r="E16">
        <v>100</v>
      </c>
    </row>
    <row r="17" spans="1:5">
      <c r="A17" t="s">
        <v>20</v>
      </c>
      <c r="B17">
        <v>1</v>
      </c>
      <c r="C17">
        <v>1</v>
      </c>
      <c r="D17">
        <v>1</v>
      </c>
      <c r="E17">
        <v>3</v>
      </c>
    </row>
    <row r="18" spans="1:5">
      <c r="A18" t="s">
        <v>21</v>
      </c>
      <c r="B18">
        <v>4</v>
      </c>
      <c r="C18">
        <v>4</v>
      </c>
      <c r="D18">
        <v>4</v>
      </c>
      <c r="E18">
        <v>6</v>
      </c>
    </row>
    <row r="19" spans="1:5">
      <c r="A19" t="s">
        <v>22</v>
      </c>
      <c r="B19">
        <v>3</v>
      </c>
      <c r="C19">
        <v>3</v>
      </c>
      <c r="D19">
        <v>3</v>
      </c>
      <c r="E19">
        <v>4</v>
      </c>
    </row>
    <row r="20" spans="1:5">
      <c r="A20" t="s">
        <v>23</v>
      </c>
      <c r="B20">
        <v>4</v>
      </c>
      <c r="C20">
        <v>4</v>
      </c>
      <c r="D20">
        <v>4</v>
      </c>
      <c r="E20">
        <v>6</v>
      </c>
    </row>
    <row r="21" spans="1:5">
      <c r="A21" t="s">
        <v>24</v>
      </c>
      <c r="B21">
        <v>12</v>
      </c>
      <c r="C21">
        <v>12</v>
      </c>
      <c r="D21">
        <v>12</v>
      </c>
      <c r="E21">
        <v>100</v>
      </c>
    </row>
    <row r="22" spans="1:5">
      <c r="A22" t="s">
        <v>25</v>
      </c>
      <c r="B22">
        <v>14</v>
      </c>
      <c r="C22">
        <v>14</v>
      </c>
      <c r="D22">
        <v>14</v>
      </c>
      <c r="E22">
        <v>100</v>
      </c>
    </row>
    <row r="23" spans="1:5">
      <c r="A23" t="s">
        <v>26</v>
      </c>
      <c r="B23">
        <v>5</v>
      </c>
      <c r="C23">
        <v>5</v>
      </c>
      <c r="D23">
        <v>5</v>
      </c>
      <c r="E23">
        <v>100</v>
      </c>
    </row>
    <row r="24" spans="1:5">
      <c r="A24" t="s">
        <v>27</v>
      </c>
      <c r="B24">
        <v>10</v>
      </c>
      <c r="C24">
        <v>10</v>
      </c>
      <c r="D24">
        <v>10</v>
      </c>
      <c r="E24">
        <v>100</v>
      </c>
    </row>
    <row r="25" spans="1:5">
      <c r="A25" t="s">
        <v>28</v>
      </c>
      <c r="B25">
        <v>4</v>
      </c>
      <c r="C25">
        <v>4</v>
      </c>
      <c r="D25">
        <v>4</v>
      </c>
      <c r="E25">
        <v>100</v>
      </c>
    </row>
    <row r="26" spans="1:5">
      <c r="A26" t="s">
        <v>29</v>
      </c>
      <c r="B26">
        <v>5</v>
      </c>
      <c r="C26">
        <v>5</v>
      </c>
      <c r="D26">
        <v>5</v>
      </c>
      <c r="E26">
        <v>100</v>
      </c>
    </row>
    <row r="27" spans="1:5">
      <c r="A27" t="s">
        <v>30</v>
      </c>
      <c r="B27">
        <v>5</v>
      </c>
      <c r="C27">
        <v>5</v>
      </c>
      <c r="D27">
        <v>5</v>
      </c>
      <c r="E27">
        <v>100</v>
      </c>
    </row>
    <row r="28" spans="1:5">
      <c r="A28" t="s">
        <v>31</v>
      </c>
      <c r="B28">
        <v>6</v>
      </c>
      <c r="C28">
        <v>6</v>
      </c>
      <c r="D28">
        <v>6</v>
      </c>
      <c r="E28">
        <v>100</v>
      </c>
    </row>
    <row r="29" spans="1:5">
      <c r="A29" t="s">
        <v>32</v>
      </c>
      <c r="B29">
        <v>6</v>
      </c>
      <c r="C29">
        <v>6</v>
      </c>
      <c r="D29">
        <v>6</v>
      </c>
      <c r="E29">
        <v>100</v>
      </c>
    </row>
    <row r="30" spans="1:5">
      <c r="A30" t="s">
        <v>33</v>
      </c>
      <c r="B30">
        <v>6</v>
      </c>
      <c r="C30">
        <v>6</v>
      </c>
      <c r="D30">
        <v>6</v>
      </c>
      <c r="E30">
        <v>100</v>
      </c>
    </row>
    <row r="31" spans="1:5">
      <c r="A31" t="s">
        <v>34</v>
      </c>
      <c r="B31">
        <v>5</v>
      </c>
      <c r="C31">
        <v>5</v>
      </c>
      <c r="D31">
        <v>5</v>
      </c>
      <c r="E31">
        <v>100</v>
      </c>
    </row>
    <row r="32" spans="1:5">
      <c r="A32" t="s">
        <v>35</v>
      </c>
      <c r="B32">
        <v>5</v>
      </c>
      <c r="C32">
        <v>5</v>
      </c>
      <c r="D32">
        <v>5</v>
      </c>
      <c r="E32">
        <v>100</v>
      </c>
    </row>
    <row r="33" spans="1:5">
      <c r="A33" t="s">
        <v>36</v>
      </c>
      <c r="B33">
        <v>5</v>
      </c>
      <c r="C33">
        <v>5</v>
      </c>
      <c r="D33">
        <v>5</v>
      </c>
      <c r="E33">
        <v>100</v>
      </c>
    </row>
    <row r="34" spans="1:5">
      <c r="A34" t="s">
        <v>37</v>
      </c>
      <c r="B34">
        <v>4</v>
      </c>
      <c r="C34">
        <v>4</v>
      </c>
      <c r="D34">
        <v>4</v>
      </c>
      <c r="E34">
        <v>100</v>
      </c>
    </row>
    <row r="35" spans="1:5">
      <c r="A35" t="s">
        <v>38</v>
      </c>
      <c r="B35">
        <v>2</v>
      </c>
      <c r="C35">
        <v>2</v>
      </c>
      <c r="D35">
        <v>2</v>
      </c>
      <c r="E35">
        <v>3</v>
      </c>
    </row>
    <row r="36" spans="1:5">
      <c r="A36" t="s">
        <v>39</v>
      </c>
      <c r="B36">
        <v>2</v>
      </c>
      <c r="C36">
        <v>2</v>
      </c>
      <c r="D36">
        <v>2</v>
      </c>
      <c r="E36">
        <v>3</v>
      </c>
    </row>
    <row r="37" spans="1:5">
      <c r="A37" t="s">
        <v>40</v>
      </c>
      <c r="B37">
        <v>4</v>
      </c>
      <c r="C37">
        <v>4</v>
      </c>
      <c r="D37">
        <v>4</v>
      </c>
      <c r="E37">
        <v>100</v>
      </c>
    </row>
    <row r="38" spans="1:5">
      <c r="A38" t="s">
        <v>41</v>
      </c>
      <c r="B38">
        <v>2</v>
      </c>
      <c r="C38">
        <v>2</v>
      </c>
      <c r="D38">
        <v>2</v>
      </c>
      <c r="E38">
        <v>100</v>
      </c>
    </row>
    <row r="39" spans="1:5">
      <c r="A39" t="s">
        <v>42</v>
      </c>
      <c r="B39">
        <v>2</v>
      </c>
      <c r="C39">
        <v>2</v>
      </c>
      <c r="D39">
        <v>2</v>
      </c>
      <c r="E39">
        <v>100</v>
      </c>
    </row>
    <row r="40" spans="1:5">
      <c r="A40" t="s">
        <v>43</v>
      </c>
      <c r="B40">
        <v>4</v>
      </c>
      <c r="C40">
        <v>4</v>
      </c>
      <c r="D40">
        <v>4</v>
      </c>
      <c r="E40">
        <v>3</v>
      </c>
    </row>
    <row r="41" spans="1:5">
      <c r="A41" t="s">
        <v>44</v>
      </c>
      <c r="B41">
        <v>2</v>
      </c>
      <c r="C41">
        <v>2</v>
      </c>
      <c r="D41">
        <v>2</v>
      </c>
      <c r="E41">
        <v>2</v>
      </c>
    </row>
    <row r="42" spans="1:5">
      <c r="A42" t="s">
        <v>45</v>
      </c>
      <c r="B42">
        <v>0</v>
      </c>
      <c r="C42">
        <v>0</v>
      </c>
      <c r="D42">
        <v>0</v>
      </c>
      <c r="E42">
        <v>0</v>
      </c>
    </row>
    <row r="43" spans="1:5">
      <c r="A43" t="s">
        <v>46</v>
      </c>
      <c r="B43">
        <v>0</v>
      </c>
      <c r="C43">
        <v>0</v>
      </c>
      <c r="D43">
        <v>0</v>
      </c>
      <c r="E43">
        <v>0</v>
      </c>
    </row>
    <row r="44" spans="1:5">
      <c r="A44" t="s">
        <v>47</v>
      </c>
      <c r="B44">
        <v>0</v>
      </c>
      <c r="C44">
        <v>0</v>
      </c>
      <c r="D44">
        <v>0</v>
      </c>
      <c r="E44">
        <v>0</v>
      </c>
    </row>
    <row r="45" spans="1:5">
      <c r="A45" t="s">
        <v>48</v>
      </c>
      <c r="B45">
        <v>0</v>
      </c>
      <c r="C45">
        <v>0</v>
      </c>
      <c r="D45">
        <v>0</v>
      </c>
      <c r="E45">
        <v>0</v>
      </c>
    </row>
    <row r="46" spans="1:5">
      <c r="A46" t="s">
        <v>49</v>
      </c>
      <c r="B46">
        <v>0</v>
      </c>
      <c r="C46">
        <v>0</v>
      </c>
      <c r="D46">
        <v>0</v>
      </c>
      <c r="E46">
        <v>0</v>
      </c>
    </row>
    <row r="47" spans="1:5">
      <c r="A47" t="s">
        <v>50</v>
      </c>
      <c r="B47">
        <v>0</v>
      </c>
      <c r="C47">
        <v>0</v>
      </c>
      <c r="D47">
        <v>0</v>
      </c>
      <c r="E47">
        <v>0</v>
      </c>
    </row>
    <row r="48" spans="1:5">
      <c r="A48" t="s">
        <v>51</v>
      </c>
      <c r="B48">
        <v>0</v>
      </c>
      <c r="C48">
        <v>0</v>
      </c>
      <c r="D48">
        <v>0</v>
      </c>
      <c r="E48">
        <v>0</v>
      </c>
    </row>
    <row r="49" spans="1:5">
      <c r="A49" t="s">
        <v>52</v>
      </c>
      <c r="B49">
        <v>0</v>
      </c>
      <c r="C49">
        <v>0</v>
      </c>
      <c r="D49">
        <v>0</v>
      </c>
      <c r="E49">
        <v>0</v>
      </c>
    </row>
    <row r="50" spans="1:5">
      <c r="A50" t="s">
        <v>53</v>
      </c>
      <c r="B50">
        <v>0</v>
      </c>
      <c r="C50">
        <v>0</v>
      </c>
      <c r="D50">
        <v>0</v>
      </c>
      <c r="E50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145" zoomScaleNormal="145" topLeftCell="A5" workbookViewId="0">
      <selection activeCell="A15" sqref="A15:C15"/>
    </sheetView>
  </sheetViews>
  <sheetFormatPr defaultColWidth="9" defaultRowHeight="13.75"/>
  <cols>
    <col min="2" max="2" width="5.59090909090909" customWidth="1"/>
    <col min="3" max="3" width="7.59090909090909" customWidth="1"/>
    <col min="4" max="4" width="16.9545454545455" customWidth="1"/>
    <col min="6" max="8" width="6.04545454545455" customWidth="1"/>
  </cols>
  <sheetData>
    <row r="1" spans="1:9">
      <c r="A1" t="s">
        <v>55</v>
      </c>
      <c r="B1" t="s">
        <v>56</v>
      </c>
      <c r="C1" t="s">
        <v>57</v>
      </c>
      <c r="D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t="s">
        <v>63</v>
      </c>
    </row>
    <row r="2" spans="1:9">
      <c r="A2" t="s">
        <v>64</v>
      </c>
      <c r="B2" t="s">
        <v>65</v>
      </c>
      <c r="C2" s="2" t="s">
        <v>66</v>
      </c>
      <c r="D2" s="2" t="s">
        <v>67</v>
      </c>
      <c r="E2" s="2" t="str" cm="1">
        <f t="array" ref="E2">IF(OR(ISNUMBER(SEARCH({"千奈","清夏","琴音","手毬","麻央"},A2))),"单极",IF(OR(ISNUMBER(SEARCH({"星南","莉莉娅","咲季","佑芽","广","莉波"},A2))),"均衡"))</f>
        <v>单极</v>
      </c>
      <c r="F2" t="str" cm="1">
        <f t="array" ref="F2">IF(OR(ISNUMBER(SEARCH({"手毬","麻央","广"},A2))),"红",IF(OR(ISNUMBER(SEARCH({"琴音","千奈","清夏","佑芽"},A2))),"蓝",IF(OR(ISNUMBER(SEARCH({"咲季","莉莉娅","星南","莉波"},A2))),"黄","")))</f>
        <v>蓝</v>
      </c>
      <c r="G2" t="str" cm="1">
        <f t="array" ref="G2">IF(OR(ISNUMBER(SEARCH({"星南","佑芽"},A2))),"红",IF(OR(ISNUMBER(SEARCH({"咲季","莉莉娅","手毬","广","莉波"},A2))),"蓝",IF(OR(ISNUMBER(SEARCH({"千奈","清夏","麻央","琴音"},A2))),"黄","")))</f>
        <v>黄</v>
      </c>
      <c r="H2" t="str" cm="1">
        <f t="array" ref="H2">IF(OR(ISNUMBER(SEARCH({"莉波","清夏","千奈","咲季","琴音","莉莉娅"},A2))),"红",IF(OR(ISNUMBER(SEARCH({"麻央","星南"},A2))),"蓝",IF(OR(ISNUMBER(SEARCH({"佑芽","广","手毬"},A2))),"黄","")))</f>
        <v>红</v>
      </c>
      <c r="I2">
        <v>1</v>
      </c>
    </row>
    <row r="3" spans="1:9">
      <c r="A3" t="s">
        <v>64</v>
      </c>
      <c r="B3" t="s">
        <v>65</v>
      </c>
      <c r="C3" s="2" t="s">
        <v>66</v>
      </c>
      <c r="D3" s="2" t="s">
        <v>68</v>
      </c>
      <c r="E3" s="2" t="str" cm="1">
        <f t="array" ref="E3">IF(OR(ISNUMBER(SEARCH({"千奈","清夏","琴音","手毬","麻央"},A3))),"单极",IF(OR(ISNUMBER(SEARCH({"星南","莉莉娅","咲季","佑芽","广","莉波"},A3))),"均衡"))</f>
        <v>单极</v>
      </c>
      <c r="F3" t="str" cm="1">
        <f t="array" ref="F3">IF(OR(ISNUMBER(SEARCH({"手毬","麻央","广"},A3))),"红",IF(OR(ISNUMBER(SEARCH({"琴音","千奈","清夏","佑芽"},A3))),"蓝",IF(OR(ISNUMBER(SEARCH({"咲季","莉莉娅","星南","莉波"},A3))),"黄","")))</f>
        <v>蓝</v>
      </c>
      <c r="G3" t="str" cm="1">
        <f t="array" ref="G3">IF(OR(ISNUMBER(SEARCH({"星南","佑芽"},A3))),"红",IF(OR(ISNUMBER(SEARCH({"咲季","莉莉娅","手毬","广","莉波"},A3))),"蓝",IF(OR(ISNUMBER(SEARCH({"千奈","清夏","麻央","琴音"},A3))),"黄","")))</f>
        <v>黄</v>
      </c>
      <c r="H3" t="str" cm="1">
        <f t="array" ref="H3">IF(OR(ISNUMBER(SEARCH({"莉波","清夏","千奈","咲季","琴音","莉莉娅"},A3))),"红",IF(OR(ISNUMBER(SEARCH({"麻央","星南"},A3))),"蓝",IF(OR(ISNUMBER(SEARCH({"佑芽","广","手毬"},A3))),"黄","")))</f>
        <v>红</v>
      </c>
      <c r="I3">
        <v>1</v>
      </c>
    </row>
    <row r="4" spans="1:9">
      <c r="A4" t="s">
        <v>64</v>
      </c>
      <c r="B4" t="s">
        <v>65</v>
      </c>
      <c r="C4" s="2" t="s">
        <v>66</v>
      </c>
      <c r="D4" t="s">
        <v>69</v>
      </c>
      <c r="E4" s="2" t="str" cm="1">
        <f t="array" ref="E4">IF(OR(ISNUMBER(SEARCH({"千奈","清夏","琴音","手毬","麻央"},A4))),"单极",IF(OR(ISNUMBER(SEARCH({"星南","莉莉娅","咲季","佑芽","广","莉波"},A4))),"均衡"))</f>
        <v>单极</v>
      </c>
      <c r="F4" t="str" cm="1">
        <f t="array" ref="F4">IF(OR(ISNUMBER(SEARCH({"手毬","麻央","广"},A4))),"红",IF(OR(ISNUMBER(SEARCH({"琴音","千奈","清夏","佑芽"},A4))),"蓝",IF(OR(ISNUMBER(SEARCH({"咲季","莉莉娅","星南","莉波"},A4))),"黄","")))</f>
        <v>蓝</v>
      </c>
      <c r="G4" t="str" cm="1">
        <f t="array" ref="G4">IF(OR(ISNUMBER(SEARCH({"星南","佑芽"},A4))),"红",IF(OR(ISNUMBER(SEARCH({"咲季","莉莉娅","手毬","广","莉波"},A4))),"蓝",IF(OR(ISNUMBER(SEARCH({"千奈","清夏","麻央","琴音"},A4))),"黄","")))</f>
        <v>黄</v>
      </c>
      <c r="H4" t="str" cm="1">
        <f t="array" ref="H4">IF(OR(ISNUMBER(SEARCH({"莉波","清夏","千奈","咲季","琴音","莉莉娅"},A4))),"红",IF(OR(ISNUMBER(SEARCH({"麻央","星南"},A4))),"蓝",IF(OR(ISNUMBER(SEARCH({"佑芽","广","手毬"},A4))),"黄","")))</f>
        <v>红</v>
      </c>
      <c r="I4">
        <v>1</v>
      </c>
    </row>
    <row r="5" spans="1:9">
      <c r="A5" t="s">
        <v>70</v>
      </c>
      <c r="B5" t="s">
        <v>65</v>
      </c>
      <c r="C5" s="2" t="s">
        <v>66</v>
      </c>
      <c r="D5" t="s">
        <v>71</v>
      </c>
      <c r="E5" s="2" t="str" cm="1">
        <f t="array" ref="E5">IF(OR(ISNUMBER(SEARCH({"千奈","清夏","琴音","手毬","麻央"},A5))),"单极",IF(OR(ISNUMBER(SEARCH({"星南","莉莉娅","咲季","佑芽","广","莉波"},A5))),"均衡"))</f>
        <v>单极</v>
      </c>
      <c r="F5" t="str" cm="1">
        <f t="array" ref="F5">IF(OR(ISNUMBER(SEARCH({"手毬","麻央","广"},A5))),"红",IF(OR(ISNUMBER(SEARCH({"琴音","千奈","清夏","佑芽"},A5))),"蓝",IF(OR(ISNUMBER(SEARCH({"咲季","莉莉娅","星南","莉波"},A5))),"黄","")))</f>
        <v>红</v>
      </c>
      <c r="G5" t="str" cm="1">
        <f t="array" ref="G5">IF(OR(ISNUMBER(SEARCH({"星南","佑芽"},A5))),"红",IF(OR(ISNUMBER(SEARCH({"咲季","莉莉娅","手毬","广","莉波"},A5))),"蓝",IF(OR(ISNUMBER(SEARCH({"千奈","清夏","麻央","琴音"},A5))),"黄","")))</f>
        <v>黄</v>
      </c>
      <c r="H5" t="str" cm="1">
        <f t="array" ref="H5">IF(OR(ISNUMBER(SEARCH({"莉波","清夏","千奈","咲季","琴音","莉莉娅"},A5))),"红",IF(OR(ISNUMBER(SEARCH({"麻央","星南"},A5))),"蓝",IF(OR(ISNUMBER(SEARCH({"佑芽","广","手毬"},A5))),"黄","")))</f>
        <v>蓝</v>
      </c>
      <c r="I5">
        <v>1</v>
      </c>
    </row>
    <row r="6" spans="1:9">
      <c r="A6" t="s">
        <v>72</v>
      </c>
      <c r="B6" t="s">
        <v>65</v>
      </c>
      <c r="C6" s="2" t="s">
        <v>66</v>
      </c>
      <c r="D6" s="2" t="s">
        <v>73</v>
      </c>
      <c r="E6" s="2" t="str" cm="1">
        <f t="array" ref="E6">IF(OR(ISNUMBER(SEARCH({"千奈","清夏","琴音","手毬","麻央"},A6))),"单极",IF(OR(ISNUMBER(SEARCH({"星南","莉莉娅","咲季","佑芽","广","莉波"},A6))),"均衡"))</f>
        <v>单极</v>
      </c>
      <c r="F6" t="str" cm="1">
        <f t="array" ref="F6">IF(OR(ISNUMBER(SEARCH({"手毬","麻央","广"},A6))),"红",IF(OR(ISNUMBER(SEARCH({"琴音","千奈","清夏","佑芽"},A6))),"蓝",IF(OR(ISNUMBER(SEARCH({"咲季","莉莉娅","星南","莉波"},A6))),"黄","")))</f>
        <v>红</v>
      </c>
      <c r="G6" t="str" cm="1">
        <f t="array" ref="G6">IF(OR(ISNUMBER(SEARCH({"星南","佑芽"},A6))),"红",IF(OR(ISNUMBER(SEARCH({"咲季","莉莉娅","手毬","广","莉波"},A6))),"蓝",IF(OR(ISNUMBER(SEARCH({"千奈","清夏","麻央","琴音"},A6))),"黄","")))</f>
        <v>蓝</v>
      </c>
      <c r="H6" t="str" cm="1">
        <f t="array" ref="H6">IF(OR(ISNUMBER(SEARCH({"莉波","清夏","千奈","咲季","琴音","莉莉娅"},A6))),"红",IF(OR(ISNUMBER(SEARCH({"麻央","星南"},A6))),"蓝",IF(OR(ISNUMBER(SEARCH({"佑芽","广","手毬"},A6))),"黄","")))</f>
        <v>黄</v>
      </c>
      <c r="I6">
        <v>1</v>
      </c>
    </row>
    <row r="7" spans="1:9">
      <c r="A7" t="s">
        <v>74</v>
      </c>
      <c r="B7" t="s">
        <v>65</v>
      </c>
      <c r="C7" s="2" t="s">
        <v>66</v>
      </c>
      <c r="D7" t="s">
        <v>75</v>
      </c>
      <c r="E7" s="2" t="str" cm="1">
        <f t="array" ref="E7">IF(OR(ISNUMBER(SEARCH({"千奈","清夏","琴音","手毬","麻央"},A7))),"单极",IF(OR(ISNUMBER(SEARCH({"星南","莉莉娅","咲季","佑芽","广","莉波"},A7))),"均衡"))</f>
        <v>单极</v>
      </c>
      <c r="F7" t="str" cm="1">
        <f t="array" ref="F7">IF(OR(ISNUMBER(SEARCH({"手毬","麻央","广"},A7))),"红",IF(OR(ISNUMBER(SEARCH({"琴音","千奈","清夏","佑芽"},A7))),"蓝",IF(OR(ISNUMBER(SEARCH({"咲季","莉莉娅","星南","莉波"},A7))),"黄","")))</f>
        <v>蓝</v>
      </c>
      <c r="G7" t="str" cm="1">
        <f t="array" ref="G7">IF(OR(ISNUMBER(SEARCH({"星南","佑芽"},A7))),"红",IF(OR(ISNUMBER(SEARCH({"咲季","莉莉娅","手毬","广","莉波"},A7))),"蓝",IF(OR(ISNUMBER(SEARCH({"千奈","清夏","麻央","琴音"},A7))),"黄","")))</f>
        <v>黄</v>
      </c>
      <c r="H7" t="str" cm="1">
        <f t="array" ref="H7">IF(OR(ISNUMBER(SEARCH({"莉波","清夏","千奈","咲季","琴音","莉莉娅"},A7))),"红",IF(OR(ISNUMBER(SEARCH({"麻央","星南"},A7))),"蓝",IF(OR(ISNUMBER(SEARCH({"佑芽","广","手毬"},A7))),"黄","")))</f>
        <v>红</v>
      </c>
      <c r="I7">
        <v>1</v>
      </c>
    </row>
    <row r="8" spans="1:9">
      <c r="A8" t="s">
        <v>76</v>
      </c>
      <c r="B8" t="s">
        <v>77</v>
      </c>
      <c r="C8" t="s">
        <v>78</v>
      </c>
      <c r="D8" t="s">
        <v>79</v>
      </c>
      <c r="E8" s="2" t="str" cm="1">
        <f t="array" ref="E8">IF(OR(ISNUMBER(SEARCH({"千奈","清夏","琴音","手毬","麻央"},A8))),"单极",IF(OR(ISNUMBER(SEARCH({"星南","莉莉娅","咲季","佑芽","广","莉波"},A8))),"均衡"))</f>
        <v>均衡</v>
      </c>
      <c r="F8" t="str" cm="1">
        <f t="array" ref="F8">IF(OR(ISNUMBER(SEARCH({"手毬","麻央","广"},A8))),"红",IF(OR(ISNUMBER(SEARCH({"琴音","千奈","清夏","佑芽"},A8))),"蓝",IF(OR(ISNUMBER(SEARCH({"咲季","莉莉娅","星南","莉波"},A8))),"黄","")))</f>
        <v>黄</v>
      </c>
      <c r="G8" t="str" cm="1">
        <f t="array" ref="G8">IF(OR(ISNUMBER(SEARCH({"星南","佑芽"},A8))),"红",IF(OR(ISNUMBER(SEARCH({"咲季","莉莉娅","手毬","广","莉波"},A8))),"蓝",IF(OR(ISNUMBER(SEARCH({"千奈","清夏","麻央","琴音"},A8))),"黄","")))</f>
        <v>蓝</v>
      </c>
      <c r="H8" t="str" cm="1">
        <f t="array" ref="H8">IF(OR(ISNUMBER(SEARCH({"莉波","清夏","千奈","咲季","琴音","莉莉娅"},A8))),"红",IF(OR(ISNUMBER(SEARCH({"麻央","星南"},A8))),"蓝",IF(OR(ISNUMBER(SEARCH({"佑芽","广","手毬"},A8))),"黄","")))</f>
        <v>红</v>
      </c>
      <c r="I8">
        <v>2</v>
      </c>
    </row>
    <row r="9" spans="1:9">
      <c r="A9" t="s">
        <v>80</v>
      </c>
      <c r="B9" t="s">
        <v>77</v>
      </c>
      <c r="C9" t="s">
        <v>81</v>
      </c>
      <c r="D9" t="s">
        <v>82</v>
      </c>
      <c r="E9" s="2" t="str" cm="1">
        <f t="array" ref="E9">IF(OR(ISNUMBER(SEARCH({"千奈","清夏","琴音","手毬","麻央"},A9))),"单极",IF(OR(ISNUMBER(SEARCH({"星南","莉莉娅","咲季","佑芽","广","莉波"},A9))),"均衡"))</f>
        <v>均衡</v>
      </c>
      <c r="F9" t="str" cm="1">
        <f t="array" ref="F9">IF(OR(ISNUMBER(SEARCH({"手毬","麻央","广"},A9))),"红",IF(OR(ISNUMBER(SEARCH({"琴音","千奈","清夏","佑芽"},A9))),"蓝",IF(OR(ISNUMBER(SEARCH({"咲季","莉莉娅","星南","莉波"},A9))),"黄","")))</f>
        <v>黄</v>
      </c>
      <c r="G9" t="str" cm="1">
        <f t="array" ref="G9">IF(OR(ISNUMBER(SEARCH({"星南","佑芽"},A9))),"红",IF(OR(ISNUMBER(SEARCH({"咲季","莉莉娅","手毬","广","莉波"},A9))),"蓝",IF(OR(ISNUMBER(SEARCH({"千奈","清夏","麻央","琴音"},A9))),"黄","")))</f>
        <v>红</v>
      </c>
      <c r="H9" t="str" cm="1">
        <f t="array" ref="H9">IF(OR(ISNUMBER(SEARCH({"莉波","清夏","千奈","咲季","琴音","莉莉娅"},A9))),"红",IF(OR(ISNUMBER(SEARCH({"麻央","星南"},A9))),"蓝",IF(OR(ISNUMBER(SEARCH({"佑芽","广","手毬"},A9))),"黄","")))</f>
        <v>蓝</v>
      </c>
      <c r="I9">
        <v>3</v>
      </c>
    </row>
    <row r="10" spans="1:9">
      <c r="A10" t="s">
        <v>83</v>
      </c>
      <c r="B10" t="s">
        <v>77</v>
      </c>
      <c r="C10" t="s">
        <v>78</v>
      </c>
      <c r="D10" s="2" t="s">
        <v>67</v>
      </c>
      <c r="E10" s="2" t="str" cm="1">
        <f t="array" ref="E10">IF(OR(ISNUMBER(SEARCH({"千奈","清夏","琴音","手毬","麻央"},A10))),"单极",IF(OR(ISNUMBER(SEARCH({"星南","莉莉娅","咲季","佑芽","广","莉波"},A10))),"均衡"))</f>
        <v>均衡</v>
      </c>
      <c r="F10" t="str" cm="1">
        <f t="array" ref="F10">IF(OR(ISNUMBER(SEARCH({"手毬","麻央","广"},A10))),"红",IF(OR(ISNUMBER(SEARCH({"琴音","千奈","清夏","佑芽"},A10))),"蓝",IF(OR(ISNUMBER(SEARCH({"咲季","莉莉娅","星南","莉波"},A10))),"黄","")))</f>
        <v>红</v>
      </c>
      <c r="G10" t="str" cm="1">
        <f t="array" ref="G10">IF(OR(ISNUMBER(SEARCH({"星南","佑芽"},A10))),"红",IF(OR(ISNUMBER(SEARCH({"咲季","莉莉娅","手毬","广","莉波"},A10))),"蓝",IF(OR(ISNUMBER(SEARCH({"千奈","清夏","麻央","琴音"},A10))),"黄","")))</f>
        <v>蓝</v>
      </c>
      <c r="H10" t="str" cm="1">
        <f t="array" ref="H10">IF(OR(ISNUMBER(SEARCH({"莉波","清夏","千奈","咲季","琴音","莉莉娅"},A10))),"红",IF(OR(ISNUMBER(SEARCH({"麻央","星南"},A10))),"蓝",IF(OR(ISNUMBER(SEARCH({"佑芽","广","手毬"},A10))),"黄","")))</f>
        <v>黄</v>
      </c>
      <c r="I10">
        <v>2</v>
      </c>
    </row>
    <row r="11" spans="1:9">
      <c r="A11" t="s">
        <v>80</v>
      </c>
      <c r="B11" t="s">
        <v>77</v>
      </c>
      <c r="C11" t="s">
        <v>78</v>
      </c>
      <c r="D11" t="s">
        <v>84</v>
      </c>
      <c r="E11" s="2" t="str" cm="1">
        <f t="array" ref="E11">IF(OR(ISNUMBER(SEARCH({"千奈","清夏","琴音","手毬","麻央"},A11))),"单极",IF(OR(ISNUMBER(SEARCH({"星南","莉莉娅","咲季","佑芽","广","莉波"},A11))),"均衡"))</f>
        <v>均衡</v>
      </c>
      <c r="F11" t="str" cm="1">
        <f t="array" ref="F11">IF(OR(ISNUMBER(SEARCH({"手毬","麻央","广"},A11))),"红",IF(OR(ISNUMBER(SEARCH({"琴音","千奈","清夏","佑芽"},A11))),"蓝",IF(OR(ISNUMBER(SEARCH({"咲季","莉莉娅","星南","莉波"},A11))),"黄","")))</f>
        <v>黄</v>
      </c>
      <c r="G11" t="str" cm="1">
        <f t="array" ref="G11">IF(OR(ISNUMBER(SEARCH({"星南","佑芽"},A11))),"红",IF(OR(ISNUMBER(SEARCH({"咲季","莉莉娅","手毬","广","莉波"},A11))),"蓝",IF(OR(ISNUMBER(SEARCH({"千奈","清夏","麻央","琴音"},A11))),"黄","")))</f>
        <v>红</v>
      </c>
      <c r="H11" t="str" cm="1">
        <f t="array" ref="H11">IF(OR(ISNUMBER(SEARCH({"莉波","清夏","千奈","咲季","琴音","莉莉娅"},A11))),"红",IF(OR(ISNUMBER(SEARCH({"麻央","星南"},A11))),"蓝",IF(OR(ISNUMBER(SEARCH({"佑芽","广","手毬"},A11))),"黄","")))</f>
        <v>蓝</v>
      </c>
      <c r="I11">
        <v>2</v>
      </c>
    </row>
    <row r="12" spans="1:9">
      <c r="A12" t="s">
        <v>72</v>
      </c>
      <c r="B12" t="s">
        <v>85</v>
      </c>
      <c r="C12" t="s">
        <v>86</v>
      </c>
      <c r="D12" s="2" t="s">
        <v>87</v>
      </c>
      <c r="E12" s="2" t="str" cm="1">
        <f t="array" ref="E12">IF(OR(ISNUMBER(SEARCH({"千奈","清夏","琴音","手毬","麻央"},A12))),"单极",IF(OR(ISNUMBER(SEARCH({"星南","莉莉娅","咲季","佑芽","广","莉波"},A12))),"均衡"))</f>
        <v>单极</v>
      </c>
      <c r="F12" t="str" cm="1">
        <f t="array" ref="F12">IF(OR(ISNUMBER(SEARCH({"手毬","麻央","广"},A12))),"红",IF(OR(ISNUMBER(SEARCH({"琴音","千奈","清夏","佑芽"},A12))),"蓝",IF(OR(ISNUMBER(SEARCH({"咲季","莉莉娅","星南","莉波"},A12))),"黄","")))</f>
        <v>红</v>
      </c>
      <c r="G12" t="str" cm="1">
        <f t="array" ref="G12">IF(OR(ISNUMBER(SEARCH({"星南","佑芽"},A12))),"红",IF(OR(ISNUMBER(SEARCH({"咲季","莉莉娅","手毬","广","莉波"},A12))),"蓝",IF(OR(ISNUMBER(SEARCH({"千奈","清夏","麻央","琴音"},A12))),"黄","")))</f>
        <v>蓝</v>
      </c>
      <c r="H12" t="str" cm="1">
        <f t="array" ref="H12">IF(OR(ISNUMBER(SEARCH({"莉波","清夏","千奈","咲季","琴音","莉莉娅"},A12))),"红",IF(OR(ISNUMBER(SEARCH({"麻央","星南"},A12))),"蓝",IF(OR(ISNUMBER(SEARCH({"佑芽","广","手毬"},A12))),"黄","")))</f>
        <v>黄</v>
      </c>
      <c r="I12">
        <v>4</v>
      </c>
    </row>
    <row r="13" spans="1:9">
      <c r="A13" t="s">
        <v>80</v>
      </c>
      <c r="B13" t="s">
        <v>85</v>
      </c>
      <c r="C13" t="s">
        <v>86</v>
      </c>
      <c r="D13" s="2" t="s">
        <v>88</v>
      </c>
      <c r="E13" s="2" t="str" cm="1">
        <f t="array" ref="E13">IF(OR(ISNUMBER(SEARCH({"千奈","清夏","琴音","手毬","麻央"},A13))),"单极",IF(OR(ISNUMBER(SEARCH({"星南","莉莉娅","咲季","佑芽","广","莉波"},A13))),"均衡"))</f>
        <v>均衡</v>
      </c>
      <c r="F13" t="str" cm="1">
        <f t="array" ref="F13">IF(OR(ISNUMBER(SEARCH({"手毬","麻央","广"},A13))),"红",IF(OR(ISNUMBER(SEARCH({"琴音","千奈","清夏","佑芽"},A13))),"蓝",IF(OR(ISNUMBER(SEARCH({"咲季","莉莉娅","星南","莉波"},A13))),"黄","")))</f>
        <v>黄</v>
      </c>
      <c r="G13" t="str" cm="1">
        <f t="array" ref="G13">IF(OR(ISNUMBER(SEARCH({"星南","佑芽"},A13))),"红",IF(OR(ISNUMBER(SEARCH({"咲季","莉莉娅","手毬","广","莉波"},A13))),"蓝",IF(OR(ISNUMBER(SEARCH({"千奈","清夏","麻央","琴音"},A13))),"黄","")))</f>
        <v>红</v>
      </c>
      <c r="H13" t="str" cm="1">
        <f t="array" ref="H13">IF(OR(ISNUMBER(SEARCH({"莉波","清夏","千奈","咲季","琴音","莉莉娅"},A13))),"红",IF(OR(ISNUMBER(SEARCH({"麻央","星南"},A13))),"蓝",IF(OR(ISNUMBER(SEARCH({"佑芽","广","手毬"},A13))),"黄","")))</f>
        <v>蓝</v>
      </c>
      <c r="I13">
        <v>4</v>
      </c>
    </row>
    <row r="14" spans="1:9">
      <c r="A14" t="s">
        <v>83</v>
      </c>
      <c r="B14" t="s">
        <v>85</v>
      </c>
      <c r="C14" t="s">
        <v>89</v>
      </c>
      <c r="D14" t="s">
        <v>90</v>
      </c>
      <c r="E14" s="2" t="str" cm="1">
        <f t="array" ref="E14">IF(OR(ISNUMBER(SEARCH({"千奈","清夏","琴音","手毬","麻央"},A14))),"单极",IF(OR(ISNUMBER(SEARCH({"星南","莉莉娅","咲季","佑芽","广","莉波"},A14))),"均衡"))</f>
        <v>均衡</v>
      </c>
      <c r="F14" t="str" cm="1">
        <f t="array" ref="F14">IF(OR(ISNUMBER(SEARCH({"手毬","麻央","广"},A14))),"红",IF(OR(ISNUMBER(SEARCH({"琴音","千奈","清夏","佑芽"},A14))),"蓝",IF(OR(ISNUMBER(SEARCH({"咲季","莉莉娅","星南","莉波"},A14))),"黄","")))</f>
        <v>红</v>
      </c>
      <c r="G14" t="str" cm="1">
        <f t="array" ref="G14">IF(OR(ISNUMBER(SEARCH({"星南","佑芽"},A14))),"红",IF(OR(ISNUMBER(SEARCH({"咲季","莉莉娅","手毬","广","莉波"},A14))),"蓝",IF(OR(ISNUMBER(SEARCH({"千奈","清夏","麻央","琴音"},A14))),"黄","")))</f>
        <v>蓝</v>
      </c>
      <c r="H14" t="str" cm="1">
        <f t="array" ref="H14">IF(OR(ISNUMBER(SEARCH({"莉波","清夏","千奈","咲季","琴音","莉莉娅"},A14))),"红",IF(OR(ISNUMBER(SEARCH({"麻央","星南"},A14))),"蓝",IF(OR(ISNUMBER(SEARCH({"佑芽","广","手毬"},A14))),"黄","")))</f>
        <v>黄</v>
      </c>
      <c r="I14">
        <v>5</v>
      </c>
    </row>
    <row r="15" spans="1:9">
      <c r="A15" t="s">
        <v>91</v>
      </c>
      <c r="B15" t="s">
        <v>85</v>
      </c>
      <c r="C15" t="s">
        <v>89</v>
      </c>
      <c r="D15" s="2" t="s">
        <v>92</v>
      </c>
      <c r="E15" s="2" t="str" cm="1">
        <f t="array" ref="E15">IF(OR(ISNUMBER(SEARCH({"千奈","清夏","琴音","手毬","麻央"},A15))),"单极",IF(OR(ISNUMBER(SEARCH({"星南","莉莉娅","咲季","佑芽","广","莉波"},A15))),"均衡"))</f>
        <v>均衡</v>
      </c>
      <c r="F15" t="str" cm="1">
        <f t="array" ref="F15">IF(OR(ISNUMBER(SEARCH({"手毬","麻央","广"},A15))),"红",IF(OR(ISNUMBER(SEARCH({"琴音","千奈","清夏","佑芽"},A15))),"蓝",IF(OR(ISNUMBER(SEARCH({"咲季","莉莉娅","星南","莉波"},A15))),"黄","")))</f>
        <v>黄</v>
      </c>
      <c r="G15" t="str" cm="1">
        <f t="array" ref="G15">IF(OR(ISNUMBER(SEARCH({"星南","佑芽"},A15))),"红",IF(OR(ISNUMBER(SEARCH({"咲季","莉莉娅","手毬","广","莉波"},A15))),"蓝",IF(OR(ISNUMBER(SEARCH({"千奈","清夏","麻央","琴音"},A15))),"黄","")))</f>
        <v>蓝</v>
      </c>
      <c r="H15" t="str" cm="1">
        <f t="array" ref="H15">IF(OR(ISNUMBER(SEARCH({"莉波","清夏","千奈","咲季","琴音","莉莉娅"},A15))),"红",IF(OR(ISNUMBER(SEARCH({"麻央","星南"},A15))),"蓝",IF(OR(ISNUMBER(SEARCH({"佑芽","广","手毬"},A15))),"黄","")))</f>
        <v>红</v>
      </c>
      <c r="I15">
        <v>5</v>
      </c>
    </row>
    <row r="16" spans="1:9">
      <c r="A16" t="s">
        <v>80</v>
      </c>
      <c r="B16" t="s">
        <v>85</v>
      </c>
      <c r="C16" t="s">
        <v>89</v>
      </c>
      <c r="D16" t="s">
        <v>93</v>
      </c>
      <c r="E16" s="2" t="str" cm="1">
        <f t="array" ref="E16">IF(OR(ISNUMBER(SEARCH({"千奈","清夏","琴音","手毬","麻央"},A16))),"单极",IF(OR(ISNUMBER(SEARCH({"星南","莉莉娅","咲季","佑芽","广","莉波"},A16))),"均衡"))</f>
        <v>均衡</v>
      </c>
      <c r="F16" t="str" cm="1">
        <f t="array" ref="F16">IF(OR(ISNUMBER(SEARCH({"手毬","麻央","广"},A16))),"红",IF(OR(ISNUMBER(SEARCH({"琴音","千奈","清夏","佑芽"},A16))),"蓝",IF(OR(ISNUMBER(SEARCH({"咲季","莉莉娅","星南","莉波"},A16))),"黄","")))</f>
        <v>黄</v>
      </c>
      <c r="G16" t="str" cm="1">
        <f t="array" ref="G16">IF(OR(ISNUMBER(SEARCH({"星南","佑芽"},A16))),"红",IF(OR(ISNUMBER(SEARCH({"咲季","莉莉娅","手毬","广","莉波"},A16))),"蓝",IF(OR(ISNUMBER(SEARCH({"千奈","清夏","麻央","琴音"},A16))),"黄","")))</f>
        <v>红</v>
      </c>
      <c r="H16" t="str" cm="1">
        <f t="array" ref="H16">IF(OR(ISNUMBER(SEARCH({"莉波","清夏","千奈","咲季","琴音","莉莉娅"},A16))),"红",IF(OR(ISNUMBER(SEARCH({"麻央","星南"},A16))),"蓝",IF(OR(ISNUMBER(SEARCH({"佑芽","广","手毬"},A16))),"黄","")))</f>
        <v>蓝</v>
      </c>
      <c r="I16">
        <v>5</v>
      </c>
    </row>
    <row r="17" spans="5:8">
      <c r="E17" s="2" t="b" cm="1">
        <f t="array" ref="E17">IF(OR(ISNUMBER(SEARCH({"千奈","清夏","琴音","手毬","麻央"},A17))),"单极",IF(OR(ISNUMBER(SEARCH({"星南","莉莉娅","咲季","佑芽","广","莉波"},A17))),"均衡"))</f>
        <v>0</v>
      </c>
      <c r="F17" t="str" cm="1">
        <f t="array" ref="F17">IF(OR(ISNUMBER(SEARCH({"手毬","麻央","广"},A17))),"红",IF(OR(ISNUMBER(SEARCH({"琴音","千奈","清夏","佑芽"},A17))),"蓝",IF(OR(ISNUMBER(SEARCH({"咲季","莉莉娅","星南","莉波"},A17))),"黄","")))</f>
        <v/>
      </c>
      <c r="G17" t="str" cm="1">
        <f t="array" ref="G17">IF(OR(ISNUMBER(SEARCH({"星南","佑芽"},A17))),"红",IF(OR(ISNUMBER(SEARCH({"咲季","莉莉娅","手毬","广","莉波"},A17))),"蓝",IF(OR(ISNUMBER(SEARCH({"千奈","清夏","麻央","琴音"},A17))),"黄","")))</f>
        <v/>
      </c>
      <c r="H17" t="str" cm="1">
        <f t="array" ref="H17">IF(OR(ISNUMBER(SEARCH({"莉波","清夏","千奈","咲季","琴音","莉莉娅"},A17))),"红",IF(OR(ISNUMBER(SEARCH({"麻央","星南"},A17))),"蓝",IF(OR(ISNUMBER(SEARCH({"佑芽","广","手毬"},A17))),"黄","")))</f>
        <v/>
      </c>
    </row>
    <row r="18" spans="5:8">
      <c r="E18" s="2" t="b" cm="1">
        <f t="array" ref="E18">IF(OR(ISNUMBER(SEARCH({"千奈","清夏","琴音","手毬","麻央"},A18))),"单极",IF(OR(ISNUMBER(SEARCH({"星南","莉莉娅","咲季","佑芽","广","莉波"},A18))),"均衡"))</f>
        <v>0</v>
      </c>
      <c r="F18" t="str" cm="1">
        <f t="array" ref="F18">IF(OR(ISNUMBER(SEARCH({"手毬","麻央","广"},A18))),"红",IF(OR(ISNUMBER(SEARCH({"琴音","千奈","清夏","佑芽"},A18))),"蓝",IF(OR(ISNUMBER(SEARCH({"咲季","莉莉娅","星南","莉波"},A18))),"黄","")))</f>
        <v/>
      </c>
      <c r="G18" t="str" cm="1">
        <f t="array" ref="G18">IF(OR(ISNUMBER(SEARCH({"星南","佑芽"},A18))),"红",IF(OR(ISNUMBER(SEARCH({"咲季","莉莉娅","手毬","广","莉波"},A18))),"蓝",IF(OR(ISNUMBER(SEARCH({"千奈","清夏","麻央","琴音"},A18))),"黄","")))</f>
        <v/>
      </c>
      <c r="H18" t="str" cm="1">
        <f t="array" ref="H18">IF(OR(ISNUMBER(SEARCH({"莉波","清夏","千奈","咲季","琴音","莉莉娅"},A18))),"红",IF(OR(ISNUMBER(SEARCH({"麻央","星南"},A18))),"蓝",IF(OR(ISNUMBER(SEARCH({"佑芽","广","手毬"},A18))),"黄","")))</f>
        <v/>
      </c>
    </row>
    <row r="19" spans="5:8">
      <c r="E19" s="2" t="b" cm="1">
        <f t="array" ref="E19">IF(OR(ISNUMBER(SEARCH({"千奈","清夏","琴音","手毬","麻央"},A19))),"单极",IF(OR(ISNUMBER(SEARCH({"星南","莉莉娅","咲季","佑芽","广","莉波"},A19))),"均衡"))</f>
        <v>0</v>
      </c>
      <c r="F19" t="str" cm="1">
        <f t="array" ref="F19">IF(OR(ISNUMBER(SEARCH({"手毬","麻央","广"},A19))),"红",IF(OR(ISNUMBER(SEARCH({"琴音","千奈","清夏","佑芽"},A19))),"蓝",IF(OR(ISNUMBER(SEARCH({"咲季","莉莉娅","星南","莉波"},A19))),"黄","")))</f>
        <v/>
      </c>
      <c r="G19" t="str" cm="1">
        <f t="array" ref="G19">IF(OR(ISNUMBER(SEARCH({"星南","佑芽"},A19))),"红",IF(OR(ISNUMBER(SEARCH({"咲季","莉莉娅","手毬","广","莉波"},A19))),"蓝",IF(OR(ISNUMBER(SEARCH({"千奈","清夏","麻央","琴音"},A19))),"黄","")))</f>
        <v/>
      </c>
      <c r="H19" t="str" cm="1">
        <f t="array" ref="H19">IF(OR(ISNUMBER(SEARCH({"莉波","清夏","千奈","咲季","琴音","莉莉娅"},A19))),"红",IF(OR(ISNUMBER(SEARCH({"麻央","星南"},A19))),"蓝",IF(OR(ISNUMBER(SEARCH({"佑芽","广","手毬"},A19))),"黄","")))</f>
        <v/>
      </c>
    </row>
    <row r="20" spans="5:8">
      <c r="E20" s="2" t="b" cm="1">
        <f t="array" ref="E20">IF(OR(ISNUMBER(SEARCH({"千奈","清夏","琴音","手毬","麻央"},A20))),"单极",IF(OR(ISNUMBER(SEARCH({"星南","莉莉娅","咲季","佑芽","广","莉波"},A20))),"均衡"))</f>
        <v>0</v>
      </c>
      <c r="F20" t="str" cm="1">
        <f t="array" ref="F20">IF(OR(ISNUMBER(SEARCH({"手毬","麻央","广"},A20))),"红",IF(OR(ISNUMBER(SEARCH({"琴音","千奈","清夏","佑芽"},A20))),"蓝",IF(OR(ISNUMBER(SEARCH({"咲季","莉莉娅","星南","莉波"},A20))),"黄","")))</f>
        <v/>
      </c>
      <c r="G20" t="str" cm="1">
        <f t="array" ref="G20">IF(OR(ISNUMBER(SEARCH({"星南","佑芽"},A20))),"红",IF(OR(ISNUMBER(SEARCH({"咲季","莉莉娅","手毬","广","莉波"},A20))),"蓝",IF(OR(ISNUMBER(SEARCH({"千奈","清夏","麻央","琴音"},A20))),"黄","")))</f>
        <v/>
      </c>
      <c r="H20" t="str" cm="1">
        <f t="array" ref="H20">IF(OR(ISNUMBER(SEARCH({"莉波","清夏","千奈","咲季","琴音","莉莉娅"},A20))),"红",IF(OR(ISNUMBER(SEARCH({"麻央","星南"},A20))),"蓝",IF(OR(ISNUMBER(SEARCH({"佑芽","广","手毬"},A20))),"黄","")))</f>
        <v/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当前模式0</vt:lpstr>
      <vt:lpstr>当前模式1</vt:lpstr>
      <vt:lpstr>当前模式2</vt:lpstr>
      <vt:lpstr>可用角色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lts129</cp:lastModifiedBy>
  <dcterms:created xsi:type="dcterms:W3CDTF">2023-05-12T11:15:00Z</dcterms:created>
  <dcterms:modified xsi:type="dcterms:W3CDTF">2026-05-02T06:44:15Z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B98536F3DE804FFE9FB09DB719681B2C_12</vt:lpwstr>
  </property>
  <property fmtid="{D5CDD505-2E9C-101B-9397-08002B2CF9AE}" pid="4" name="CalculationRule">
    <vt:i4>0</vt:i4>
  </property>
</Properties>
</file>